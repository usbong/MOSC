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705" windowWidth="14805" windowHeight="7410"/>
  </bookViews>
  <sheets>
    <sheet name="Jan 2020" sheetId="2" r:id="rId1"/>
  </sheets>
  <calcPr calcId="145621"/>
</workbook>
</file>

<file path=xl/calcChain.xml><?xml version="1.0" encoding="utf-8"?>
<calcChain xmlns="http://schemas.openxmlformats.org/spreadsheetml/2006/main">
  <c r="M17" i="2" l="1"/>
  <c r="M16" i="2"/>
  <c r="L16" i="2"/>
  <c r="K16" i="2"/>
  <c r="M15" i="2"/>
  <c r="L15" i="2"/>
  <c r="K15" i="2"/>
  <c r="M14" i="2"/>
  <c r="L14" i="2"/>
  <c r="K14" i="2"/>
  <c r="M13" i="2"/>
  <c r="L13" i="2"/>
  <c r="K13" i="2"/>
  <c r="M12" i="2"/>
  <c r="L12" i="2"/>
  <c r="K12" i="2"/>
  <c r="M11" i="2"/>
  <c r="L11" i="2"/>
  <c r="K11" i="2"/>
  <c r="M10" i="2"/>
  <c r="L10" i="2"/>
  <c r="K10" i="2"/>
  <c r="M9" i="2"/>
  <c r="L9" i="2"/>
  <c r="K9" i="2"/>
  <c r="L8" i="2"/>
  <c r="K8" i="2"/>
  <c r="M8" i="2" s="1"/>
  <c r="L7" i="2"/>
  <c r="K7" i="2" s="1"/>
  <c r="M7" i="2" s="1"/>
  <c r="J16" i="2"/>
  <c r="J15" i="2"/>
  <c r="J14" i="2"/>
  <c r="J13" i="2"/>
  <c r="J12" i="2"/>
  <c r="J11" i="2"/>
  <c r="J10" i="2"/>
  <c r="J9" i="2"/>
  <c r="J8" i="2"/>
  <c r="J7" i="2"/>
  <c r="A3" i="2" l="1"/>
</calcChain>
</file>

<file path=xl/sharedStrings.xml><?xml version="1.0" encoding="utf-8"?>
<sst xmlns="http://schemas.openxmlformats.org/spreadsheetml/2006/main" count="28" uniqueCount="24">
  <si>
    <t>DATE</t>
  </si>
  <si>
    <t>PF</t>
  </si>
  <si>
    <t>X-RAY</t>
  </si>
  <si>
    <t>MEDICINE</t>
  </si>
  <si>
    <t>TOTAL</t>
  </si>
  <si>
    <t>MARIKINA ORTHOPEDIC SPECIALTY CLINIC</t>
  </si>
  <si>
    <t>OFFICIAL RECEIPT: PAS</t>
  </si>
  <si>
    <t>SYSON, MICHAEL</t>
  </si>
  <si>
    <t>OR NO.</t>
  </si>
  <si>
    <t>PATIENT NAME</t>
  </si>
  <si>
    <t>AMOUNT</t>
  </si>
  <si>
    <t>VAT</t>
  </si>
  <si>
    <t>NOTES</t>
  </si>
  <si>
    <t>VAT SALES</t>
  </si>
  <si>
    <t>DELA PAZ, MIGUEL</t>
  </si>
  <si>
    <t>FEE</t>
  </si>
  <si>
    <t>NON-MED</t>
  </si>
  <si>
    <t>LAB</t>
  </si>
  <si>
    <t>AMT. PAID</t>
  </si>
  <si>
    <t>WI</t>
  </si>
  <si>
    <t>SC</t>
  </si>
  <si>
    <t>CLASSIFI-</t>
  </si>
  <si>
    <t>CATION</t>
  </si>
  <si>
    <t>BERGSTEIN, 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</si>
</sst>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d/mm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11"/>
      <name val="Arial"/>
      <family val="2"/>
    </font>
    <font>
      <sz val="9"/>
      <name val="Arial"/>
      <family val="2"/>
    </font>
    <font>
      <sz val="11"/>
      <color theme="5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</cellStyleXfs>
  <cellXfs count="43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43" fontId="3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2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2" fillId="0" borderId="2" xfId="2" applyFont="1" applyBorder="1" applyAlignment="1">
      <alignment horizontal="center"/>
    </xf>
    <xf numFmtId="43" fontId="2" fillId="2" borderId="3" xfId="2" applyFont="1" applyFill="1" applyBorder="1" applyAlignment="1">
      <alignment horizontal="center"/>
    </xf>
    <xf numFmtId="43" fontId="2" fillId="2" borderId="1" xfId="2" applyFont="1" applyFill="1" applyBorder="1" applyAlignment="1">
      <alignment horizontal="center"/>
    </xf>
    <xf numFmtId="43" fontId="2" fillId="0" borderId="5" xfId="2" applyFont="1" applyFill="1" applyBorder="1" applyAlignment="1">
      <alignment horizontal="center"/>
    </xf>
    <xf numFmtId="43" fontId="2" fillId="2" borderId="6" xfId="2" applyFont="1" applyFill="1" applyBorder="1" applyAlignment="1">
      <alignment horizontal="center"/>
    </xf>
    <xf numFmtId="43" fontId="2" fillId="2" borderId="4" xfId="2" applyFont="1" applyFill="1" applyBorder="1" applyAlignment="1">
      <alignment horizontal="center" wrapText="1"/>
    </xf>
    <xf numFmtId="165" fontId="7" fillId="0" borderId="0" xfId="0" applyNumberFormat="1" applyFont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43" fontId="7" fillId="0" borderId="0" xfId="8" applyFont="1" applyBorder="1"/>
    <xf numFmtId="43" fontId="7" fillId="0" borderId="0" xfId="7" applyFont="1" applyBorder="1" applyAlignment="1"/>
    <xf numFmtId="0" fontId="3" fillId="0" borderId="0" xfId="9" applyFont="1" applyFill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/>
    </xf>
    <xf numFmtId="0" fontId="9" fillId="0" borderId="0" xfId="9" applyFont="1" applyFill="1" applyAlignment="1">
      <alignment horizontal="left"/>
    </xf>
    <xf numFmtId="0" fontId="7" fillId="0" borderId="0" xfId="1" applyFont="1" applyAlignment="1">
      <alignment horizontal="left"/>
    </xf>
    <xf numFmtId="43" fontId="7" fillId="0" borderId="0" xfId="2" applyFont="1" applyAlignment="1">
      <alignment horizontal="left"/>
    </xf>
    <xf numFmtId="43" fontId="7" fillId="3" borderId="0" xfId="2" applyFont="1" applyFill="1" applyAlignment="1">
      <alignment horizontal="left"/>
    </xf>
    <xf numFmtId="43" fontId="2" fillId="0" borderId="2" xfId="5" applyFont="1" applyFill="1" applyBorder="1" applyAlignment="1">
      <alignment horizontal="center" vertical="top" wrapText="1"/>
    </xf>
    <xf numFmtId="43" fontId="2" fillId="0" borderId="5" xfId="5" applyFont="1" applyFill="1" applyBorder="1" applyAlignment="1">
      <alignment horizontal="center" vertical="top" wrapText="1"/>
    </xf>
    <xf numFmtId="4" fontId="7" fillId="0" borderId="0" xfId="0" applyNumberFormat="1" applyFont="1" applyBorder="1" applyAlignment="1" applyProtection="1">
      <alignment horizontal="center"/>
    </xf>
    <xf numFmtId="4" fontId="7" fillId="0" borderId="0" xfId="6" applyNumberFormat="1" applyFont="1" applyBorder="1" applyAlignment="1" applyProtection="1">
      <alignment horizontal="center"/>
    </xf>
    <xf numFmtId="4" fontId="7" fillId="0" borderId="0" xfId="7" applyNumberFormat="1" applyFont="1" applyBorder="1"/>
    <xf numFmtId="4" fontId="7" fillId="0" borderId="0" xfId="0" applyNumberFormat="1" applyFont="1" applyBorder="1" applyAlignment="1">
      <alignment horizontal="center"/>
    </xf>
    <xf numFmtId="4" fontId="7" fillId="0" borderId="0" xfId="6" applyNumberFormat="1" applyFont="1" applyBorder="1" applyAlignment="1">
      <alignment horizontal="center"/>
    </xf>
    <xf numFmtId="4" fontId="7" fillId="0" borderId="0" xfId="1" applyNumberFormat="1" applyFont="1" applyAlignment="1">
      <alignment horizontal="left"/>
    </xf>
    <xf numFmtId="4" fontId="7" fillId="0" borderId="0" xfId="2" applyNumberFormat="1" applyFont="1" applyAlignment="1">
      <alignment horizontal="left"/>
    </xf>
    <xf numFmtId="43" fontId="7" fillId="0" borderId="0" xfId="7" applyNumberFormat="1" applyFont="1" applyBorder="1"/>
    <xf numFmtId="14" fontId="2" fillId="0" borderId="1" xfId="3" applyNumberFormat="1" applyFont="1" applyFill="1" applyBorder="1" applyAlignment="1">
      <alignment horizontal="center" vertical="center"/>
    </xf>
    <xf numFmtId="14" fontId="2" fillId="0" borderId="4" xfId="3" applyNumberFormat="1" applyFont="1" applyFill="1" applyBorder="1" applyAlignment="1">
      <alignment horizontal="center" vertical="center"/>
    </xf>
    <xf numFmtId="0" fontId="2" fillId="0" borderId="1" xfId="4" applyNumberFormat="1" applyFont="1" applyFill="1" applyBorder="1" applyAlignment="1">
      <alignment horizontal="center" vertical="center"/>
    </xf>
    <xf numFmtId="0" fontId="2" fillId="0" borderId="4" xfId="4" applyNumberFormat="1" applyFont="1" applyFill="1" applyBorder="1" applyAlignment="1">
      <alignment horizontal="center" vertical="center"/>
    </xf>
    <xf numFmtId="43" fontId="2" fillId="0" borderId="1" xfId="5" applyFont="1" applyFill="1" applyBorder="1" applyAlignment="1">
      <alignment horizontal="center" vertical="center"/>
    </xf>
    <xf numFmtId="43" fontId="2" fillId="0" borderId="4" xfId="5" applyFont="1" applyFill="1" applyBorder="1" applyAlignment="1">
      <alignment horizontal="center" vertical="center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7"/>
  <sheetViews>
    <sheetView tabSelected="1" zoomScale="124" zoomScaleNormal="124" workbookViewId="0">
      <selection activeCell="M18" sqref="M18"/>
    </sheetView>
  </sheetViews>
  <sheetFormatPr defaultRowHeight="15" x14ac:dyDescent="0.25"/>
  <cols>
    <col min="1" max="1" width="11.85546875" customWidth="1"/>
    <col min="2" max="2" width="7.42578125" bestFit="1" customWidth="1"/>
    <col min="3" max="3" width="30.7109375" customWidth="1"/>
    <col min="4" max="4" width="10.5703125" bestFit="1" customWidth="1"/>
    <col min="5" max="6" width="7.42578125" bestFit="1" customWidth="1"/>
    <col min="7" max="7" width="10.5703125" bestFit="1" customWidth="1"/>
    <col min="8" max="8" width="10.28515625" bestFit="1" customWidth="1"/>
    <col min="9" max="9" width="7.42578125" bestFit="1" customWidth="1"/>
    <col min="10" max="10" width="11.85546875" bestFit="1" customWidth="1"/>
    <col min="11" max="11" width="11.5703125" customWidth="1"/>
    <col min="12" max="12" width="9.85546875" bestFit="1" customWidth="1"/>
    <col min="13" max="13" width="10.7109375" bestFit="1" customWidth="1"/>
  </cols>
  <sheetData>
    <row r="1" spans="1:14" x14ac:dyDescent="0.25">
      <c r="A1" s="1" t="s">
        <v>5</v>
      </c>
      <c r="B1" s="1"/>
      <c r="C1" s="2"/>
      <c r="D1" s="2"/>
      <c r="E1" s="2"/>
      <c r="F1" s="2"/>
      <c r="G1" s="2"/>
      <c r="H1" s="2"/>
      <c r="I1" s="2"/>
      <c r="J1" s="3"/>
      <c r="K1" s="3"/>
      <c r="L1" s="3"/>
      <c r="M1" s="3"/>
      <c r="N1" s="2"/>
    </row>
    <row r="2" spans="1:14" x14ac:dyDescent="0.25">
      <c r="A2" s="1" t="s">
        <v>6</v>
      </c>
      <c r="B2" s="1"/>
      <c r="C2" s="2"/>
      <c r="D2" s="2"/>
      <c r="E2" s="2"/>
      <c r="F2" s="2"/>
      <c r="G2" s="2"/>
      <c r="H2" s="2"/>
      <c r="I2" s="2"/>
      <c r="J2" s="3"/>
      <c r="K2" s="3"/>
      <c r="L2" s="3"/>
      <c r="M2" s="3"/>
      <c r="N2" s="2"/>
    </row>
    <row r="3" spans="1:14" x14ac:dyDescent="0.25">
      <c r="A3" s="4" t="str">
        <f ca="1">"TODAY: " &amp; TEXT(NOW(), "dd/mm/yyyy") &amp; " (" &amp; TEXT(NOW(), "dd mmm yyyy") &amp; ")"</f>
        <v>TODAY: 09/01/2020 (09 Jan 2020)</v>
      </c>
      <c r="B3" s="5"/>
      <c r="C3" s="2"/>
      <c r="D3" s="2"/>
      <c r="E3" s="2"/>
      <c r="F3" s="2"/>
      <c r="G3" s="2"/>
      <c r="H3" s="2"/>
      <c r="I3" s="2"/>
      <c r="J3" s="3"/>
      <c r="K3" s="3"/>
      <c r="L3" s="3"/>
      <c r="M3" s="3"/>
      <c r="N3" s="2"/>
    </row>
    <row r="4" spans="1:14" ht="15.75" thickBot="1" x14ac:dyDescent="0.3">
      <c r="A4" s="6" t="s">
        <v>7</v>
      </c>
      <c r="B4" s="5"/>
      <c r="C4" s="2"/>
      <c r="D4" s="2"/>
      <c r="E4" s="2"/>
      <c r="F4" s="2"/>
      <c r="G4" s="2"/>
      <c r="H4" s="2"/>
      <c r="I4" s="2"/>
      <c r="J4" s="3"/>
      <c r="K4" s="3"/>
      <c r="L4" s="3"/>
      <c r="M4" s="3"/>
      <c r="N4" s="2"/>
    </row>
    <row r="5" spans="1:14" ht="15" customHeight="1" x14ac:dyDescent="0.25">
      <c r="A5" s="35" t="s">
        <v>0</v>
      </c>
      <c r="B5" s="37" t="s">
        <v>8</v>
      </c>
      <c r="C5" s="39" t="s">
        <v>9</v>
      </c>
      <c r="D5" s="7" t="s">
        <v>21</v>
      </c>
      <c r="E5" s="39" t="s">
        <v>1</v>
      </c>
      <c r="F5" s="25" t="s">
        <v>2</v>
      </c>
      <c r="G5" s="25" t="s">
        <v>16</v>
      </c>
      <c r="H5" s="25" t="s">
        <v>3</v>
      </c>
      <c r="I5" s="25" t="s">
        <v>17</v>
      </c>
      <c r="J5" s="7" t="s">
        <v>4</v>
      </c>
      <c r="K5" s="8"/>
      <c r="L5" s="9" t="s">
        <v>11</v>
      </c>
      <c r="M5" s="8"/>
      <c r="N5" s="41" t="s">
        <v>12</v>
      </c>
    </row>
    <row r="6" spans="1:14" ht="15.75" thickBot="1" x14ac:dyDescent="0.3">
      <c r="A6" s="36"/>
      <c r="B6" s="38"/>
      <c r="C6" s="40"/>
      <c r="D6" s="10" t="s">
        <v>22</v>
      </c>
      <c r="E6" s="40"/>
      <c r="F6" s="26" t="s">
        <v>15</v>
      </c>
      <c r="G6" s="26" t="s">
        <v>15</v>
      </c>
      <c r="H6" s="26" t="s">
        <v>15</v>
      </c>
      <c r="I6" s="26" t="s">
        <v>15</v>
      </c>
      <c r="J6" s="10" t="s">
        <v>18</v>
      </c>
      <c r="K6" s="11" t="s">
        <v>13</v>
      </c>
      <c r="L6" s="12" t="s">
        <v>10</v>
      </c>
      <c r="M6" s="11" t="s">
        <v>4</v>
      </c>
      <c r="N6" s="42"/>
    </row>
    <row r="7" spans="1:14" x14ac:dyDescent="0.25">
      <c r="A7" s="13">
        <v>43838</v>
      </c>
      <c r="B7" s="14">
        <v>1234</v>
      </c>
      <c r="C7" s="15" t="s">
        <v>14</v>
      </c>
      <c r="D7" s="15" t="s">
        <v>19</v>
      </c>
      <c r="E7" s="27">
        <v>600</v>
      </c>
      <c r="F7" s="27"/>
      <c r="G7" s="28"/>
      <c r="H7" s="28">
        <v>730</v>
      </c>
      <c r="I7" s="28"/>
      <c r="J7" s="29">
        <f>SUM(E7:I7)</f>
        <v>1330</v>
      </c>
      <c r="K7" s="16">
        <f>IF(D7="WI",J7-L7,0)</f>
        <v>1187.5</v>
      </c>
      <c r="L7" s="17">
        <f>IF(D7="WI",ROUND(J7/1.12*0.12,2), IF(J7="SLC",ROUND(J7/1.12*0.12,2),0))</f>
        <v>142.5</v>
      </c>
      <c r="M7" s="16">
        <f>IF(D7="WI",K7+L7,J7)</f>
        <v>1330</v>
      </c>
      <c r="N7" s="18"/>
    </row>
    <row r="8" spans="1:14" x14ac:dyDescent="0.25">
      <c r="A8" s="13">
        <v>43838</v>
      </c>
      <c r="B8" s="19">
        <v>1235</v>
      </c>
      <c r="C8" s="15" t="s">
        <v>23</v>
      </c>
      <c r="D8" s="15" t="s">
        <v>20</v>
      </c>
      <c r="E8" s="30"/>
      <c r="F8" s="30">
        <v>500</v>
      </c>
      <c r="G8" s="31"/>
      <c r="H8" s="31">
        <v>204</v>
      </c>
      <c r="I8" s="31"/>
      <c r="J8" s="29">
        <f t="shared" ref="J8:J16" si="0">SUM(E8:I8)</f>
        <v>704</v>
      </c>
      <c r="K8" s="16">
        <f t="shared" ref="K8:K16" si="1">IF(D8="WI",J8-L8,0)</f>
        <v>0</v>
      </c>
      <c r="L8" s="17">
        <f t="shared" ref="L8:L16" si="2">IF(D8="WI",ROUND(J8/1.12*0.12,2), IF(J8="SLC",ROUND(J8/1.12*0.12,2),0))</f>
        <v>0</v>
      </c>
      <c r="M8" s="16">
        <f t="shared" ref="M8:M16" si="3">IF(D8="WI",K8+L8,J8)</f>
        <v>704</v>
      </c>
      <c r="N8" s="21"/>
    </row>
    <row r="9" spans="1:14" x14ac:dyDescent="0.25">
      <c r="A9" s="13"/>
      <c r="B9" s="19"/>
      <c r="C9" s="15"/>
      <c r="D9" s="15"/>
      <c r="E9" s="27"/>
      <c r="F9" s="27"/>
      <c r="G9" s="31"/>
      <c r="H9" s="31"/>
      <c r="I9" s="31"/>
      <c r="J9" s="34">
        <f t="shared" si="0"/>
        <v>0</v>
      </c>
      <c r="K9" s="16">
        <f t="shared" si="1"/>
        <v>0</v>
      </c>
      <c r="L9" s="17">
        <f t="shared" si="2"/>
        <v>0</v>
      </c>
      <c r="M9" s="16">
        <f t="shared" si="3"/>
        <v>0</v>
      </c>
      <c r="N9" s="2"/>
    </row>
    <row r="10" spans="1:14" x14ac:dyDescent="0.25">
      <c r="A10" s="13"/>
      <c r="B10" s="19"/>
      <c r="C10" s="15"/>
      <c r="D10" s="15"/>
      <c r="E10" s="27"/>
      <c r="F10" s="27"/>
      <c r="G10" s="31"/>
      <c r="H10" s="31"/>
      <c r="I10" s="31"/>
      <c r="J10" s="34">
        <f t="shared" si="0"/>
        <v>0</v>
      </c>
      <c r="K10" s="16">
        <f t="shared" si="1"/>
        <v>0</v>
      </c>
      <c r="L10" s="17">
        <f t="shared" si="2"/>
        <v>0</v>
      </c>
      <c r="M10" s="16">
        <f t="shared" si="3"/>
        <v>0</v>
      </c>
      <c r="N10" s="2"/>
    </row>
    <row r="11" spans="1:14" x14ac:dyDescent="0.25">
      <c r="A11" s="13"/>
      <c r="B11" s="19"/>
      <c r="C11" s="15"/>
      <c r="D11" s="15"/>
      <c r="E11" s="27"/>
      <c r="F11" s="27"/>
      <c r="G11" s="31"/>
      <c r="H11" s="31"/>
      <c r="I11" s="31"/>
      <c r="J11" s="34">
        <f t="shared" si="0"/>
        <v>0</v>
      </c>
      <c r="K11" s="16">
        <f t="shared" si="1"/>
        <v>0</v>
      </c>
      <c r="L11" s="17">
        <f t="shared" si="2"/>
        <v>0</v>
      </c>
      <c r="M11" s="16">
        <f t="shared" si="3"/>
        <v>0</v>
      </c>
      <c r="N11" s="2"/>
    </row>
    <row r="12" spans="1:14" x14ac:dyDescent="0.25">
      <c r="A12" s="13"/>
      <c r="B12" s="14"/>
      <c r="C12" s="20"/>
      <c r="D12" s="20"/>
      <c r="E12" s="30"/>
      <c r="F12" s="30"/>
      <c r="G12" s="28"/>
      <c r="H12" s="28"/>
      <c r="I12" s="28"/>
      <c r="J12" s="34">
        <f t="shared" si="0"/>
        <v>0</v>
      </c>
      <c r="K12" s="16">
        <f t="shared" si="1"/>
        <v>0</v>
      </c>
      <c r="L12" s="17">
        <f t="shared" si="2"/>
        <v>0</v>
      </c>
      <c r="M12" s="16">
        <f t="shared" si="3"/>
        <v>0</v>
      </c>
      <c r="N12" s="2"/>
    </row>
    <row r="13" spans="1:14" x14ac:dyDescent="0.25">
      <c r="A13" s="13"/>
      <c r="B13" s="14"/>
      <c r="C13" s="15"/>
      <c r="D13" s="15"/>
      <c r="E13" s="27"/>
      <c r="F13" s="27"/>
      <c r="G13" s="28"/>
      <c r="H13" s="28"/>
      <c r="I13" s="28"/>
      <c r="J13" s="34">
        <f t="shared" si="0"/>
        <v>0</v>
      </c>
      <c r="K13" s="16">
        <f t="shared" si="1"/>
        <v>0</v>
      </c>
      <c r="L13" s="17">
        <f t="shared" si="2"/>
        <v>0</v>
      </c>
      <c r="M13" s="16">
        <f t="shared" si="3"/>
        <v>0</v>
      </c>
      <c r="N13" s="2"/>
    </row>
    <row r="14" spans="1:14" x14ac:dyDescent="0.25">
      <c r="A14" s="13"/>
      <c r="B14" s="20"/>
      <c r="C14" s="20"/>
      <c r="D14" s="20"/>
      <c r="E14" s="30"/>
      <c r="F14" s="30"/>
      <c r="G14" s="28"/>
      <c r="H14" s="28"/>
      <c r="I14" s="28"/>
      <c r="J14" s="34">
        <f t="shared" si="0"/>
        <v>0</v>
      </c>
      <c r="K14" s="16">
        <f t="shared" si="1"/>
        <v>0</v>
      </c>
      <c r="L14" s="17">
        <f t="shared" si="2"/>
        <v>0</v>
      </c>
      <c r="M14" s="16">
        <f t="shared" si="3"/>
        <v>0</v>
      </c>
      <c r="N14" s="2"/>
    </row>
    <row r="15" spans="1:14" x14ac:dyDescent="0.25">
      <c r="A15" s="13"/>
      <c r="B15" s="20"/>
      <c r="C15" s="20"/>
      <c r="D15" s="20"/>
      <c r="E15" s="30"/>
      <c r="F15" s="30"/>
      <c r="G15" s="28"/>
      <c r="H15" s="28"/>
      <c r="I15" s="28"/>
      <c r="J15" s="34">
        <f t="shared" si="0"/>
        <v>0</v>
      </c>
      <c r="K15" s="16">
        <f t="shared" si="1"/>
        <v>0</v>
      </c>
      <c r="L15" s="17">
        <f t="shared" si="2"/>
        <v>0</v>
      </c>
      <c r="M15" s="16">
        <f t="shared" si="3"/>
        <v>0</v>
      </c>
      <c r="N15" s="2"/>
    </row>
    <row r="16" spans="1:14" x14ac:dyDescent="0.25">
      <c r="A16" s="13"/>
      <c r="B16" s="14"/>
      <c r="C16" s="20"/>
      <c r="D16" s="20"/>
      <c r="E16" s="30"/>
      <c r="F16" s="30"/>
      <c r="G16" s="28"/>
      <c r="H16" s="28"/>
      <c r="I16" s="28"/>
      <c r="J16" s="34">
        <f t="shared" si="0"/>
        <v>0</v>
      </c>
      <c r="K16" s="16">
        <f t="shared" si="1"/>
        <v>0</v>
      </c>
      <c r="L16" s="17">
        <f t="shared" si="2"/>
        <v>0</v>
      </c>
      <c r="M16" s="16">
        <f t="shared" si="3"/>
        <v>0</v>
      </c>
      <c r="N16" s="2"/>
    </row>
    <row r="17" spans="1:14" x14ac:dyDescent="0.25">
      <c r="A17" s="22"/>
      <c r="B17" s="22"/>
      <c r="C17" s="22"/>
      <c r="D17" s="22"/>
      <c r="E17" s="32"/>
      <c r="F17" s="32"/>
      <c r="G17" s="32"/>
      <c r="H17" s="32"/>
      <c r="I17" s="32"/>
      <c r="J17" s="33"/>
      <c r="K17" s="23"/>
      <c r="L17" s="23"/>
      <c r="M17" s="24">
        <f>SUM(M7:M16)</f>
        <v>2034</v>
      </c>
      <c r="N17" s="2"/>
    </row>
  </sheetData>
  <protectedRanges>
    <protectedRange sqref="A3:A4 N7:N16 A7:J7 A9:J16 A8:B8 D8:J8" name="Edited Cells"/>
    <protectedRange sqref="C8" name="Edited Cells_1"/>
  </protectedRanges>
  <mergeCells count="5">
    <mergeCell ref="A5:A6"/>
    <mergeCell ref="B5:B6"/>
    <mergeCell ref="C5:C6"/>
    <mergeCell ref="N5:N6"/>
    <mergeCell ref="E5:E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Jan 2020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2020-01-09T06:24:49Z</dcterms:modified>
</cp:coreProperties>
</file>