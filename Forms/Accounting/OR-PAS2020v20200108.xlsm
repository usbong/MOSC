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185" windowWidth="15120" windowHeight="6900" firstSheet="1" activeTab="1"/>
  </bookViews>
  <sheets>
    <sheet name="August 2015" sheetId="6" r:id="rId1"/>
    <sheet name="Jan 2020" sheetId="14" r:id="rId2"/>
  </sheets>
  <calcPr calcId="145621"/>
</workbook>
</file>

<file path=xl/calcChain.xml><?xml version="1.0" encoding="utf-8"?>
<calcChain xmlns="http://schemas.openxmlformats.org/spreadsheetml/2006/main">
  <c r="A3" i="14" l="1"/>
  <c r="H16" i="14"/>
  <c r="H13" i="14"/>
  <c r="H11" i="14"/>
  <c r="H10" i="14"/>
  <c r="H9" i="14"/>
  <c r="G16" i="14"/>
  <c r="G15" i="14"/>
  <c r="G14" i="14"/>
  <c r="G13" i="14"/>
  <c r="G12" i="14"/>
  <c r="G11" i="14"/>
  <c r="G10" i="14"/>
  <c r="G9" i="14"/>
  <c r="G8" i="14"/>
  <c r="F8" i="14" s="1"/>
  <c r="H8" i="14" s="1"/>
  <c r="F16" i="14"/>
  <c r="F15" i="14"/>
  <c r="H15" i="14" s="1"/>
  <c r="F14" i="14"/>
  <c r="H14" i="14" s="1"/>
  <c r="F13" i="14"/>
  <c r="F12" i="14"/>
  <c r="H12" i="14" s="1"/>
  <c r="F11" i="14"/>
  <c r="F10" i="14"/>
  <c r="F9" i="14"/>
  <c r="G7" i="14"/>
  <c r="F7" i="14" s="1"/>
  <c r="H7" i="14" s="1"/>
  <c r="H17" i="14" l="1"/>
  <c r="D18" i="6" l="1"/>
  <c r="H18" i="6" s="1"/>
  <c r="F18" i="6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</calcChain>
</file>

<file path=xl/sharedStrings.xml><?xml version="1.0" encoding="utf-8"?>
<sst xmlns="http://schemas.openxmlformats.org/spreadsheetml/2006/main" count="51" uniqueCount="48">
  <si>
    <t>Date</t>
  </si>
  <si>
    <t>CI #</t>
  </si>
  <si>
    <t>Patient's Name</t>
  </si>
  <si>
    <t>Medicine</t>
  </si>
  <si>
    <t>ITEMS</t>
  </si>
  <si>
    <t>Non-Med</t>
  </si>
  <si>
    <t>TOTAL</t>
  </si>
  <si>
    <t>Espiritu, Marissa</t>
  </si>
  <si>
    <t>Sun, Lorna</t>
  </si>
  <si>
    <t>Zerodol 100mg</t>
  </si>
  <si>
    <t>Arcilla, Michelle</t>
  </si>
  <si>
    <t>Flores, Renemil</t>
  </si>
  <si>
    <t>Piascledin 36x60</t>
  </si>
  <si>
    <t>Piascledin 36x30</t>
  </si>
  <si>
    <t>Mammwad, Rosalina</t>
  </si>
  <si>
    <t>Prime 3"</t>
  </si>
  <si>
    <t>Padrinao, Concordia</t>
  </si>
  <si>
    <t>Walker w/ wheels</t>
  </si>
  <si>
    <t>Cabares, Cancio</t>
  </si>
  <si>
    <t>Alfa Calcuinal 15x60</t>
  </si>
  <si>
    <t>Reyes, Emelita</t>
  </si>
  <si>
    <t>Alendra 70mg 4x250</t>
  </si>
  <si>
    <t xml:space="preserve">Lee, Jardie </t>
  </si>
  <si>
    <t>K.I.</t>
  </si>
  <si>
    <t>Banag, Menirva</t>
  </si>
  <si>
    <t>Guedina, Virginia</t>
  </si>
  <si>
    <t>Quad Cane US</t>
  </si>
  <si>
    <t>PIESCO/Bolarga, Romid</t>
  </si>
  <si>
    <t>Cube, Melinda</t>
  </si>
  <si>
    <t>Restorator</t>
  </si>
  <si>
    <t>Ricardo</t>
  </si>
  <si>
    <t>Takol 16x25</t>
  </si>
  <si>
    <t>Capilitan, Hernando</t>
  </si>
  <si>
    <t>Arcoxia 78.75x6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</si>
  <si>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</si>
  <si>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</si>
  <si>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</si>
  <si>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</si>
  <si>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</si>
  <si>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</si>
  <si>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</si>
  <si>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</si>
  <si>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</si>
  <si>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</si>
  <si>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</si>
  <si>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DELA PAZ, MIGUEL</t>
  </si>
  <si>
    <t>SYSON, MICHAEL</t>
  </si>
  <si>
    <t>DM Shoe (Not Pair) Size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</si>
</sst>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d/mm/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0"/>
      <name val="Arial"/>
      <family val="2"/>
    </font>
    <font>
      <b/>
      <sz val="12"/>
      <color rgb="FFFF0000"/>
      <name val="Arial"/>
      <family val="2"/>
    </font>
    <font>
      <b/>
      <u val="singleAccounting"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11"/>
      <name val="Arial"/>
      <family val="2"/>
    </font>
    <font>
      <sz val="9"/>
      <name val="Arial"/>
      <family val="2"/>
    </font>
    <font>
      <sz val="11"/>
      <color theme="5" tint="-0.249977111117893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8" fillId="0" borderId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" fillId="0" borderId="0"/>
  </cellStyleXfs>
  <cellXfs count="51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3" fontId="3" fillId="2" borderId="1" xfId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43" fontId="2" fillId="2" borderId="1" xfId="1" applyFont="1" applyFill="1" applyBorder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0" fontId="0" fillId="0" borderId="2" xfId="0" applyFill="1" applyBorder="1"/>
    <xf numFmtId="43" fontId="4" fillId="0" borderId="0" xfId="1" applyFont="1"/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43" fontId="5" fillId="0" borderId="0" xfId="3" applyFont="1" applyAlignment="1">
      <alignment horizontal="left"/>
    </xf>
    <xf numFmtId="164" fontId="7" fillId="0" borderId="0" xfId="2" applyNumberFormat="1" applyFont="1" applyAlignment="1">
      <alignment horizontal="left"/>
    </xf>
    <xf numFmtId="15" fontId="6" fillId="0" borderId="0" xfId="2" quotePrefix="1" applyNumberFormat="1" applyFont="1" applyAlignment="1">
      <alignment horizontal="left"/>
    </xf>
    <xf numFmtId="15" fontId="7" fillId="0" borderId="0" xfId="2" quotePrefix="1" applyNumberFormat="1" applyFont="1" applyAlignment="1">
      <alignment horizontal="left"/>
    </xf>
    <xf numFmtId="43" fontId="6" fillId="0" borderId="4" xfId="3" applyFont="1" applyBorder="1" applyAlignment="1">
      <alignment horizontal="center"/>
    </xf>
    <xf numFmtId="43" fontId="6" fillId="4" borderId="5" xfId="3" applyFont="1" applyFill="1" applyBorder="1" applyAlignment="1">
      <alignment horizontal="center"/>
    </xf>
    <xf numFmtId="43" fontId="6" fillId="4" borderId="3" xfId="3" applyFont="1" applyFill="1" applyBorder="1" applyAlignment="1">
      <alignment horizontal="center"/>
    </xf>
    <xf numFmtId="43" fontId="6" fillId="0" borderId="7" xfId="3" applyFont="1" applyFill="1" applyBorder="1" applyAlignment="1">
      <alignment horizontal="center"/>
    </xf>
    <xf numFmtId="43" fontId="6" fillId="4" borderId="8" xfId="3" applyFont="1" applyFill="1" applyBorder="1" applyAlignment="1">
      <alignment horizontal="center"/>
    </xf>
    <xf numFmtId="14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7" applyFont="1" applyBorder="1" applyAlignment="1">
      <alignment horizontal="center"/>
    </xf>
    <xf numFmtId="43" fontId="10" fillId="0" borderId="0" xfId="8" applyFont="1" applyBorder="1"/>
    <xf numFmtId="43" fontId="10" fillId="0" borderId="0" xfId="8" applyFont="1" applyBorder="1" applyAlignment="1"/>
    <xf numFmtId="43" fontId="10" fillId="0" borderId="0" xfId="9" applyFont="1" applyBorder="1"/>
    <xf numFmtId="0" fontId="5" fillId="0" borderId="0" xfId="10" applyFont="1" applyFill="1" applyBorder="1" applyAlignment="1">
      <alignment horizontal="left"/>
    </xf>
    <xf numFmtId="0" fontId="12" fillId="0" borderId="0" xfId="10" applyFont="1" applyFill="1" applyAlignment="1">
      <alignment horizontal="left"/>
    </xf>
    <xf numFmtId="0" fontId="10" fillId="0" borderId="0" xfId="0" applyFont="1" applyBorder="1" applyAlignment="1" applyProtection="1">
      <alignment horizontal="center"/>
    </xf>
    <xf numFmtId="0" fontId="10" fillId="0" borderId="0" xfId="0" applyFont="1" applyBorder="1" applyAlignment="1" applyProtection="1"/>
    <xf numFmtId="0" fontId="10" fillId="0" borderId="0" xfId="7" applyFont="1" applyBorder="1" applyAlignment="1" applyProtection="1">
      <alignment horizontal="center"/>
    </xf>
    <xf numFmtId="43" fontId="10" fillId="0" borderId="0" xfId="8" applyFont="1" applyBorder="1" applyProtection="1"/>
    <xf numFmtId="0" fontId="10" fillId="0" borderId="0" xfId="2" applyFont="1" applyAlignment="1">
      <alignment horizontal="left"/>
    </xf>
    <xf numFmtId="43" fontId="10" fillId="0" borderId="0" xfId="3" applyFont="1" applyAlignment="1">
      <alignment horizontal="left"/>
    </xf>
    <xf numFmtId="43" fontId="10" fillId="5" borderId="0" xfId="3" applyFont="1" applyFill="1" applyAlignment="1">
      <alignment horizontal="left"/>
    </xf>
    <xf numFmtId="0" fontId="13" fillId="0" borderId="0" xfId="2" applyFont="1" applyAlignment="1">
      <alignment horizontal="left"/>
    </xf>
    <xf numFmtId="43" fontId="13" fillId="0" borderId="0" xfId="3" applyFont="1" applyAlignment="1">
      <alignment horizontal="left"/>
    </xf>
    <xf numFmtId="43" fontId="6" fillId="4" borderId="6" xfId="3" applyFont="1" applyFill="1" applyBorder="1" applyAlignment="1">
      <alignment horizontal="center" wrapText="1"/>
    </xf>
    <xf numFmtId="165" fontId="10" fillId="0" borderId="0" xfId="0" applyNumberFormat="1" applyFont="1" applyBorder="1" applyAlignment="1" applyProtection="1">
      <alignment horizontal="center"/>
    </xf>
    <xf numFmtId="43" fontId="9" fillId="0" borderId="3" xfId="3" applyFont="1" applyFill="1" applyBorder="1" applyAlignment="1">
      <alignment horizontal="center" vertical="center"/>
    </xf>
    <xf numFmtId="43" fontId="9" fillId="0" borderId="6" xfId="3" applyFont="1" applyFill="1" applyBorder="1" applyAlignment="1">
      <alignment horizontal="center" vertical="center"/>
    </xf>
    <xf numFmtId="14" fontId="6" fillId="0" borderId="3" xfId="4" applyNumberFormat="1" applyFont="1" applyFill="1" applyBorder="1" applyAlignment="1">
      <alignment horizontal="center" vertical="center"/>
    </xf>
    <xf numFmtId="14" fontId="6" fillId="0" borderId="6" xfId="4" applyNumberFormat="1" applyFont="1" applyFill="1" applyBorder="1" applyAlignment="1">
      <alignment horizontal="center" vertical="center"/>
    </xf>
    <xf numFmtId="0" fontId="6" fillId="0" borderId="3" xfId="5" applyNumberFormat="1" applyFont="1" applyFill="1" applyBorder="1" applyAlignment="1">
      <alignment horizontal="center" vertical="center"/>
    </xf>
    <xf numFmtId="0" fontId="6" fillId="0" borderId="6" xfId="5" applyNumberFormat="1" applyFont="1" applyFill="1" applyBorder="1" applyAlignment="1">
      <alignment horizontal="center" vertical="center"/>
    </xf>
    <xf numFmtId="43" fontId="6" fillId="0" borderId="3" xfId="6" applyFont="1" applyFill="1" applyBorder="1" applyAlignment="1">
      <alignment horizontal="center" vertical="center"/>
    </xf>
    <xf numFmtId="43" fontId="6" fillId="0" borderId="6" xfId="6" applyFont="1" applyFill="1" applyBorder="1" applyAlignment="1">
      <alignment horizontal="center" vertical="center"/>
    </xf>
    <xf numFmtId="43" fontId="6" fillId="0" borderId="3" xfId="6" applyFont="1" applyFill="1" applyBorder="1" applyAlignment="1">
      <alignment horizontal="center" vertical="top" wrapText="1"/>
    </xf>
    <xf numFmtId="43" fontId="6" fillId="0" borderId="6" xfId="6" applyFont="1" applyFill="1" applyBorder="1" applyAlignment="1">
      <alignment horizontal="center" vertical="top" wrapText="1"/>
    </xf>
  </cellXfs>
  <cellStyles count="11">
    <cellStyle name="Comma" xfId="1" builtinId="3"/>
    <cellStyle name="Comma 10" xfId="3"/>
    <cellStyle name="Comma 2 2" xfId="9"/>
    <cellStyle name="Comma 2 2 2" xfId="6"/>
    <cellStyle name="Comma 7 2 2" xfId="8"/>
    <cellStyle name="Comma 8 3 46" xfId="5"/>
    <cellStyle name="Normal" xfId="0" builtinId="0"/>
    <cellStyle name="Normal 2" xfId="2"/>
    <cellStyle name="Normal 7 2 2" xfId="7"/>
    <cellStyle name="Normal 8 3 46" xfId="10"/>
    <cellStyle name="Normal_Shee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workbookViewId="0">
      <selection activeCell="E4" sqref="E1:E1048576"/>
    </sheetView>
  </sheetViews>
  <sheetFormatPr defaultRowHeight="15" x14ac:dyDescent="0.25"/>
  <cols>
    <col min="1" max="1" width="11.85546875" customWidth="1"/>
    <col min="3" max="3" width="24.42578125" customWidth="1"/>
    <col min="4" max="4" width="14.42578125" customWidth="1"/>
    <col min="5" max="5" width="21.42578125" customWidth="1"/>
    <col min="6" max="6" width="14" customWidth="1"/>
    <col min="7" max="7" width="20.7109375" customWidth="1"/>
    <col min="8" max="8" width="16.5703125" customWidth="1"/>
  </cols>
  <sheetData>
    <row r="1" spans="1:8" ht="15.75" x14ac:dyDescent="0.25">
      <c r="A1" s="1" t="s">
        <v>0</v>
      </c>
      <c r="B1" s="2" t="s">
        <v>1</v>
      </c>
      <c r="C1" s="1" t="s">
        <v>2</v>
      </c>
      <c r="D1" s="3" t="s">
        <v>3</v>
      </c>
      <c r="E1" s="4" t="s">
        <v>4</v>
      </c>
      <c r="F1" s="3" t="s">
        <v>5</v>
      </c>
      <c r="G1" s="4" t="s">
        <v>4</v>
      </c>
      <c r="H1" s="5" t="s">
        <v>6</v>
      </c>
    </row>
    <row r="2" spans="1:8" x14ac:dyDescent="0.25">
      <c r="A2" s="6">
        <v>42229</v>
      </c>
      <c r="B2" s="7">
        <v>1</v>
      </c>
      <c r="C2" s="7" t="s">
        <v>7</v>
      </c>
      <c r="D2" s="7"/>
      <c r="E2" s="7"/>
      <c r="F2" s="7">
        <v>1700</v>
      </c>
      <c r="G2" s="7"/>
      <c r="H2" s="7">
        <f t="shared" ref="H2:H16" si="0">SUM(D2:G2)</f>
        <v>1700</v>
      </c>
    </row>
    <row r="3" spans="1:8" x14ac:dyDescent="0.25">
      <c r="A3" s="6">
        <v>42231</v>
      </c>
      <c r="B3" s="7">
        <v>2</v>
      </c>
      <c r="C3" s="7" t="s">
        <v>8</v>
      </c>
      <c r="D3" s="7">
        <v>1980</v>
      </c>
      <c r="E3" s="7" t="s">
        <v>9</v>
      </c>
      <c r="F3" s="7"/>
      <c r="G3" s="7"/>
      <c r="H3" s="7">
        <f t="shared" si="0"/>
        <v>1980</v>
      </c>
    </row>
    <row r="4" spans="1:8" x14ac:dyDescent="0.25">
      <c r="A4" s="6">
        <v>42233</v>
      </c>
      <c r="B4" s="7">
        <v>3</v>
      </c>
      <c r="C4" s="7" t="s">
        <v>10</v>
      </c>
      <c r="D4" s="7">
        <v>2160</v>
      </c>
      <c r="E4" s="7" t="s">
        <v>12</v>
      </c>
      <c r="F4" s="7"/>
      <c r="G4" s="7"/>
      <c r="H4" s="7">
        <f t="shared" si="0"/>
        <v>2160</v>
      </c>
    </row>
    <row r="5" spans="1:8" x14ac:dyDescent="0.25">
      <c r="A5" s="7"/>
      <c r="B5" s="7">
        <v>4</v>
      </c>
      <c r="C5" s="7" t="s">
        <v>11</v>
      </c>
      <c r="D5" s="7">
        <v>1080</v>
      </c>
      <c r="E5" s="7" t="s">
        <v>13</v>
      </c>
      <c r="F5" s="7"/>
      <c r="G5" s="7"/>
      <c r="H5" s="7">
        <f t="shared" si="0"/>
        <v>1080</v>
      </c>
    </row>
    <row r="6" spans="1:8" x14ac:dyDescent="0.25">
      <c r="A6" s="7"/>
      <c r="B6" s="7">
        <v>5</v>
      </c>
      <c r="C6" s="7" t="s">
        <v>14</v>
      </c>
      <c r="D6" s="7"/>
      <c r="F6" s="7">
        <v>325</v>
      </c>
      <c r="G6" s="7" t="s">
        <v>15</v>
      </c>
      <c r="H6" s="8">
        <f t="shared" si="0"/>
        <v>325</v>
      </c>
    </row>
    <row r="7" spans="1:8" x14ac:dyDescent="0.25">
      <c r="A7" s="6">
        <v>42235</v>
      </c>
      <c r="B7" s="7">
        <v>6</v>
      </c>
      <c r="C7" s="7" t="s">
        <v>16</v>
      </c>
      <c r="D7" s="7"/>
      <c r="E7" s="7"/>
      <c r="F7" s="7">
        <v>1500</v>
      </c>
      <c r="G7" s="7" t="s">
        <v>17</v>
      </c>
      <c r="H7" s="7">
        <f t="shared" si="0"/>
        <v>1500</v>
      </c>
    </row>
    <row r="8" spans="1:8" x14ac:dyDescent="0.25">
      <c r="A8" s="6">
        <v>42236</v>
      </c>
      <c r="B8" s="7">
        <v>7</v>
      </c>
      <c r="C8" s="7" t="s">
        <v>18</v>
      </c>
      <c r="D8" s="7">
        <v>900</v>
      </c>
      <c r="E8" s="7" t="s">
        <v>19</v>
      </c>
      <c r="F8" s="7"/>
      <c r="G8" s="7"/>
      <c r="H8" s="7">
        <f t="shared" si="0"/>
        <v>900</v>
      </c>
    </row>
    <row r="9" spans="1:8" x14ac:dyDescent="0.25">
      <c r="A9" s="6">
        <v>42238</v>
      </c>
      <c r="B9" s="7">
        <v>8</v>
      </c>
      <c r="C9" s="7" t="s">
        <v>20</v>
      </c>
      <c r="D9" s="7">
        <v>1000</v>
      </c>
      <c r="E9" s="7" t="s">
        <v>21</v>
      </c>
      <c r="F9" s="7"/>
      <c r="G9" s="7"/>
      <c r="H9" s="7">
        <f t="shared" si="0"/>
        <v>1000</v>
      </c>
    </row>
    <row r="10" spans="1:8" x14ac:dyDescent="0.25">
      <c r="A10" s="6">
        <v>42240</v>
      </c>
      <c r="B10" s="7">
        <v>9</v>
      </c>
      <c r="C10" s="7" t="s">
        <v>22</v>
      </c>
      <c r="D10" s="7"/>
      <c r="E10" s="7"/>
      <c r="F10" s="7">
        <v>1500</v>
      </c>
      <c r="G10" s="7" t="s">
        <v>23</v>
      </c>
      <c r="H10" s="7">
        <f t="shared" si="0"/>
        <v>1500</v>
      </c>
    </row>
    <row r="11" spans="1:8" x14ac:dyDescent="0.25">
      <c r="A11" s="7"/>
      <c r="B11" s="7">
        <v>10</v>
      </c>
      <c r="C11" s="7" t="s">
        <v>24</v>
      </c>
      <c r="D11" s="7">
        <v>305.2</v>
      </c>
      <c r="E11" s="7"/>
      <c r="F11" s="7"/>
      <c r="G11" s="7"/>
      <c r="H11" s="7">
        <f t="shared" si="0"/>
        <v>305.2</v>
      </c>
    </row>
    <row r="12" spans="1:8" x14ac:dyDescent="0.25">
      <c r="A12" s="6">
        <v>42241</v>
      </c>
      <c r="B12" s="7">
        <v>11</v>
      </c>
      <c r="C12" s="7" t="s">
        <v>25</v>
      </c>
      <c r="D12" s="7"/>
      <c r="E12" s="7"/>
      <c r="F12" s="7">
        <v>900</v>
      </c>
      <c r="G12" s="7" t="s">
        <v>26</v>
      </c>
      <c r="H12" s="7">
        <f t="shared" si="0"/>
        <v>900</v>
      </c>
    </row>
    <row r="13" spans="1:8" x14ac:dyDescent="0.25">
      <c r="A13" s="7"/>
      <c r="B13" s="7">
        <v>12</v>
      </c>
      <c r="C13" s="7" t="s">
        <v>27</v>
      </c>
      <c r="D13" s="7">
        <v>355</v>
      </c>
      <c r="E13" s="7"/>
      <c r="F13" s="7"/>
      <c r="G13" s="7"/>
      <c r="H13" s="7">
        <f t="shared" si="0"/>
        <v>355</v>
      </c>
    </row>
    <row r="14" spans="1:8" x14ac:dyDescent="0.25">
      <c r="A14" s="6">
        <v>42242</v>
      </c>
      <c r="B14" s="7">
        <v>13</v>
      </c>
      <c r="C14" s="7" t="s">
        <v>28</v>
      </c>
      <c r="D14" s="7"/>
      <c r="E14" s="7"/>
      <c r="F14" s="7">
        <v>1700</v>
      </c>
      <c r="G14" s="7" t="s">
        <v>29</v>
      </c>
      <c r="H14" s="7">
        <f t="shared" si="0"/>
        <v>1700</v>
      </c>
    </row>
    <row r="15" spans="1:8" x14ac:dyDescent="0.25">
      <c r="A15" s="6">
        <v>42243</v>
      </c>
      <c r="B15" s="7">
        <v>14</v>
      </c>
      <c r="C15" s="7" t="s">
        <v>30</v>
      </c>
      <c r="D15" s="7">
        <v>400</v>
      </c>
      <c r="E15" s="7" t="s">
        <v>31</v>
      </c>
      <c r="F15" s="7"/>
      <c r="G15" s="7"/>
      <c r="H15" s="7">
        <f t="shared" si="0"/>
        <v>400</v>
      </c>
    </row>
    <row r="16" spans="1:8" x14ac:dyDescent="0.25">
      <c r="A16" s="6">
        <v>42244</v>
      </c>
      <c r="B16" s="7">
        <v>15</v>
      </c>
      <c r="C16" s="7" t="s">
        <v>32</v>
      </c>
      <c r="D16" s="7">
        <v>472.5</v>
      </c>
      <c r="E16" s="7" t="s">
        <v>33</v>
      </c>
      <c r="F16" s="7"/>
      <c r="G16" s="7"/>
      <c r="H16" s="7">
        <f t="shared" si="0"/>
        <v>472.5</v>
      </c>
    </row>
    <row r="18" spans="4:8" ht="18" x14ac:dyDescent="0.4">
      <c r="D18" s="9">
        <f>SUM(D2:D17)</f>
        <v>8652.7000000000007</v>
      </c>
      <c r="E18" s="9"/>
      <c r="F18" s="9">
        <f>SUM(F2:F17)</f>
        <v>7625</v>
      </c>
      <c r="G18" s="9"/>
      <c r="H18" s="9">
        <f>SUM(D18:G18)</f>
        <v>16277.7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tabSelected="1" zoomScale="136" zoomScaleNormal="136" workbookViewId="0">
      <selection activeCell="D9" sqref="D9"/>
    </sheetView>
  </sheetViews>
  <sheetFormatPr defaultRowHeight="15" x14ac:dyDescent="0.25"/>
  <cols>
    <col min="1" max="1" width="11.85546875" customWidth="1"/>
    <col min="2" max="2" width="10.5703125" bestFit="1" customWidth="1"/>
    <col min="3" max="3" width="30" customWidth="1"/>
    <col min="4" max="4" width="26" bestFit="1" customWidth="1"/>
    <col min="5" max="5" width="10.85546875" bestFit="1" customWidth="1"/>
    <col min="6" max="6" width="10.85546875" customWidth="1"/>
    <col min="7" max="7" width="9.85546875" bestFit="1" customWidth="1"/>
    <col min="8" max="8" width="13.7109375" bestFit="1" customWidth="1"/>
  </cols>
  <sheetData>
    <row r="1" spans="1:9" x14ac:dyDescent="0.25">
      <c r="A1" s="10" t="s">
        <v>40</v>
      </c>
      <c r="B1" s="10"/>
      <c r="C1" s="11"/>
      <c r="D1" s="11"/>
      <c r="E1" s="12"/>
      <c r="F1" s="12"/>
      <c r="G1" s="12"/>
      <c r="H1" s="12"/>
      <c r="I1" s="11"/>
    </row>
    <row r="2" spans="1:9" x14ac:dyDescent="0.25">
      <c r="A2" s="10" t="s">
        <v>43</v>
      </c>
      <c r="B2" s="10"/>
      <c r="C2" s="11"/>
      <c r="D2" s="11"/>
      <c r="E2" s="12"/>
      <c r="F2" s="12"/>
      <c r="G2" s="12"/>
      <c r="H2" s="12"/>
      <c r="I2" s="11"/>
    </row>
    <row r="3" spans="1:9" x14ac:dyDescent="0.25">
      <c r="A3" s="13" t="str">
        <f ca="1">"TODAY: " &amp; TEXT(NOW(), "dd/mm/yyyy") &amp; " (" &amp; TEXT(NOW(), "dd mmm yyyy") &amp; ")"</f>
        <v>TODAY: 08/01/2020 (08 Jan 2020)</v>
      </c>
      <c r="B3" s="14"/>
      <c r="C3" s="11"/>
      <c r="D3" s="11"/>
      <c r="E3" s="12"/>
      <c r="F3" s="12"/>
      <c r="G3" s="12"/>
      <c r="H3" s="12"/>
      <c r="I3" s="11"/>
    </row>
    <row r="4" spans="1:9" ht="15.75" thickBot="1" x14ac:dyDescent="0.3">
      <c r="A4" s="15" t="s">
        <v>46</v>
      </c>
      <c r="B4" s="14"/>
      <c r="C4" s="11"/>
      <c r="D4" s="11"/>
      <c r="E4" s="12"/>
      <c r="F4" s="12"/>
      <c r="G4" s="12"/>
      <c r="H4" s="12"/>
      <c r="I4" s="11"/>
    </row>
    <row r="5" spans="1:9" ht="15" customHeight="1" x14ac:dyDescent="0.25">
      <c r="A5" s="43" t="s">
        <v>34</v>
      </c>
      <c r="B5" s="45" t="s">
        <v>44</v>
      </c>
      <c r="C5" s="47" t="s">
        <v>35</v>
      </c>
      <c r="D5" s="49" t="s">
        <v>41</v>
      </c>
      <c r="E5" s="16" t="s">
        <v>36</v>
      </c>
      <c r="F5" s="17"/>
      <c r="G5" s="18" t="s">
        <v>39</v>
      </c>
      <c r="H5" s="17"/>
      <c r="I5" s="41" t="s">
        <v>37</v>
      </c>
    </row>
    <row r="6" spans="1:9" ht="15.75" thickBot="1" x14ac:dyDescent="0.3">
      <c r="A6" s="44"/>
      <c r="B6" s="46"/>
      <c r="C6" s="48"/>
      <c r="D6" s="50"/>
      <c r="E6" s="19" t="s">
        <v>38</v>
      </c>
      <c r="F6" s="20" t="s">
        <v>42</v>
      </c>
      <c r="G6" s="39" t="s">
        <v>36</v>
      </c>
      <c r="H6" s="20" t="s">
        <v>6</v>
      </c>
      <c r="I6" s="42"/>
    </row>
    <row r="7" spans="1:9" x14ac:dyDescent="0.25">
      <c r="A7" s="40">
        <v>43838</v>
      </c>
      <c r="B7" s="31">
        <v>1234</v>
      </c>
      <c r="C7" s="30" t="s">
        <v>45</v>
      </c>
      <c r="D7" s="32" t="s">
        <v>47</v>
      </c>
      <c r="E7" s="25">
        <v>350</v>
      </c>
      <c r="F7" s="27">
        <f>IF(D7&lt;&gt;"",E7-G7,0)</f>
        <v>312.5</v>
      </c>
      <c r="G7" s="26">
        <f>IF(D7&lt;&gt;"",ROUND(E7/1.12*0.12,2), IF(D7="SLC",ROUND(E7/1.12*0.12,2),0))</f>
        <v>37.5</v>
      </c>
      <c r="H7" s="27">
        <f>IF(D7&lt;&gt;"",F7+G7,0)</f>
        <v>350</v>
      </c>
      <c r="I7" s="28"/>
    </row>
    <row r="8" spans="1:9" x14ac:dyDescent="0.25">
      <c r="A8" s="21"/>
      <c r="B8" s="22"/>
      <c r="C8" s="23"/>
      <c r="D8" s="24"/>
      <c r="E8" s="25"/>
      <c r="F8" s="27">
        <f t="shared" ref="F8:F16" si="0">IF(D8&lt;&gt;"",E8-G8,0)</f>
        <v>0</v>
      </c>
      <c r="G8" s="26">
        <f t="shared" ref="G8:G16" si="1">IF(D8&lt;&gt;"",ROUND(E8/1.12*0.12,2), IF(D8="SLC",ROUND(E8/1.12*0.12,2),0))</f>
        <v>0</v>
      </c>
      <c r="H8" s="27">
        <f t="shared" ref="H8:H16" si="2">IF(D8&lt;&gt;"",F8+G8,0)</f>
        <v>0</v>
      </c>
      <c r="I8" s="29"/>
    </row>
    <row r="9" spans="1:9" x14ac:dyDescent="0.25">
      <c r="A9" s="21"/>
      <c r="B9" s="22"/>
      <c r="C9" s="30"/>
      <c r="D9" s="24"/>
      <c r="E9" s="25"/>
      <c r="F9" s="27">
        <f t="shared" si="0"/>
        <v>0</v>
      </c>
      <c r="G9" s="26">
        <f t="shared" si="1"/>
        <v>0</v>
      </c>
      <c r="H9" s="27">
        <f t="shared" si="2"/>
        <v>0</v>
      </c>
      <c r="I9" s="11"/>
    </row>
    <row r="10" spans="1:9" x14ac:dyDescent="0.25">
      <c r="A10" s="23"/>
      <c r="B10" s="22"/>
      <c r="C10" s="30"/>
      <c r="D10" s="24"/>
      <c r="E10" s="25"/>
      <c r="F10" s="27">
        <f t="shared" si="0"/>
        <v>0</v>
      </c>
      <c r="G10" s="26">
        <f t="shared" si="1"/>
        <v>0</v>
      </c>
      <c r="H10" s="27">
        <f t="shared" si="2"/>
        <v>0</v>
      </c>
      <c r="I10" s="11"/>
    </row>
    <row r="11" spans="1:9" x14ac:dyDescent="0.25">
      <c r="A11" s="23"/>
      <c r="B11" s="22"/>
      <c r="C11" s="30"/>
      <c r="D11" s="24"/>
      <c r="E11" s="25"/>
      <c r="F11" s="27">
        <f t="shared" si="0"/>
        <v>0</v>
      </c>
      <c r="G11" s="26">
        <f t="shared" si="1"/>
        <v>0</v>
      </c>
      <c r="H11" s="27">
        <f t="shared" si="2"/>
        <v>0</v>
      </c>
      <c r="I11" s="11"/>
    </row>
    <row r="12" spans="1:9" x14ac:dyDescent="0.25">
      <c r="A12" s="23"/>
      <c r="B12" s="31"/>
      <c r="C12" s="23"/>
      <c r="D12" s="32"/>
      <c r="E12" s="33"/>
      <c r="F12" s="27">
        <f t="shared" si="0"/>
        <v>0</v>
      </c>
      <c r="G12" s="26">
        <f t="shared" si="1"/>
        <v>0</v>
      </c>
      <c r="H12" s="27">
        <f t="shared" si="2"/>
        <v>0</v>
      </c>
      <c r="I12" s="11"/>
    </row>
    <row r="13" spans="1:9" x14ac:dyDescent="0.25">
      <c r="A13" s="23"/>
      <c r="B13" s="31"/>
      <c r="C13" s="30"/>
      <c r="D13" s="32"/>
      <c r="E13" s="33"/>
      <c r="F13" s="27">
        <f t="shared" si="0"/>
        <v>0</v>
      </c>
      <c r="G13" s="26">
        <f t="shared" si="1"/>
        <v>0</v>
      </c>
      <c r="H13" s="27">
        <f t="shared" si="2"/>
        <v>0</v>
      </c>
      <c r="I13" s="11"/>
    </row>
    <row r="14" spans="1:9" x14ac:dyDescent="0.25">
      <c r="A14" s="23"/>
      <c r="B14" s="23"/>
      <c r="C14" s="23"/>
      <c r="D14" s="32"/>
      <c r="E14" s="33"/>
      <c r="F14" s="27">
        <f t="shared" si="0"/>
        <v>0</v>
      </c>
      <c r="G14" s="26">
        <f t="shared" si="1"/>
        <v>0</v>
      </c>
      <c r="H14" s="27">
        <f t="shared" si="2"/>
        <v>0</v>
      </c>
      <c r="I14" s="11"/>
    </row>
    <row r="15" spans="1:9" x14ac:dyDescent="0.25">
      <c r="A15" s="34"/>
      <c r="B15" s="23"/>
      <c r="C15" s="23"/>
      <c r="D15" s="32"/>
      <c r="E15" s="33"/>
      <c r="F15" s="27">
        <f t="shared" si="0"/>
        <v>0</v>
      </c>
      <c r="G15" s="26">
        <f t="shared" si="1"/>
        <v>0</v>
      </c>
      <c r="H15" s="27">
        <f t="shared" si="2"/>
        <v>0</v>
      </c>
      <c r="I15" s="11"/>
    </row>
    <row r="16" spans="1:9" x14ac:dyDescent="0.25">
      <c r="A16" s="34"/>
      <c r="B16" s="31"/>
      <c r="C16" s="23"/>
      <c r="D16" s="32"/>
      <c r="E16" s="33"/>
      <c r="F16" s="27">
        <f t="shared" si="0"/>
        <v>0</v>
      </c>
      <c r="G16" s="26">
        <f t="shared" si="1"/>
        <v>0</v>
      </c>
      <c r="H16" s="27">
        <f t="shared" si="2"/>
        <v>0</v>
      </c>
      <c r="I16" s="11"/>
    </row>
    <row r="17" spans="1:9" x14ac:dyDescent="0.25">
      <c r="A17" s="34"/>
      <c r="B17" s="34"/>
      <c r="C17" s="34"/>
      <c r="D17" s="34"/>
      <c r="E17" s="35"/>
      <c r="F17" s="35"/>
      <c r="G17" s="35"/>
      <c r="H17" s="36">
        <f>SUM(H7:H16)</f>
        <v>350</v>
      </c>
      <c r="I17" s="11"/>
    </row>
    <row r="18" spans="1:9" x14ac:dyDescent="0.25">
      <c r="A18" s="37"/>
      <c r="B18" s="37"/>
      <c r="C18" s="37"/>
      <c r="D18" s="37"/>
      <c r="E18" s="38"/>
      <c r="F18" s="38"/>
      <c r="G18" s="38"/>
      <c r="H18" s="38"/>
      <c r="I18" s="37"/>
    </row>
    <row r="19" spans="1:9" x14ac:dyDescent="0.25">
      <c r="A19" s="37"/>
      <c r="B19" s="37"/>
      <c r="C19" s="37"/>
      <c r="D19" s="37"/>
      <c r="E19" s="38"/>
      <c r="F19" s="38"/>
      <c r="G19" s="38"/>
      <c r="H19" s="38"/>
      <c r="I19" s="37"/>
    </row>
    <row r="20" spans="1:9" x14ac:dyDescent="0.25">
      <c r="A20" s="37"/>
      <c r="B20" s="37"/>
      <c r="C20" s="37"/>
      <c r="D20" s="37"/>
      <c r="E20" s="38"/>
      <c r="F20" s="38"/>
      <c r="G20" s="38"/>
      <c r="H20" s="38"/>
      <c r="I20" s="37"/>
    </row>
    <row r="21" spans="1:9" x14ac:dyDescent="0.25">
      <c r="A21" s="37"/>
      <c r="B21" s="37"/>
      <c r="C21" s="37"/>
      <c r="D21" s="37"/>
      <c r="E21" s="38"/>
      <c r="F21" s="38"/>
      <c r="G21" s="38"/>
      <c r="H21" s="38"/>
      <c r="I21" s="37"/>
    </row>
    <row r="22" spans="1:9" x14ac:dyDescent="0.25">
      <c r="A22" s="37"/>
      <c r="B22" s="37"/>
      <c r="C22" s="37"/>
      <c r="D22" s="37"/>
      <c r="E22" s="38"/>
      <c r="F22" s="38"/>
      <c r="G22" s="38"/>
      <c r="H22" s="38"/>
      <c r="I22" s="37"/>
    </row>
    <row r="23" spans="1:9" x14ac:dyDescent="0.25">
      <c r="A23" s="37"/>
      <c r="B23" s="37"/>
      <c r="C23" s="37"/>
      <c r="D23" s="37"/>
      <c r="E23" s="38"/>
      <c r="F23" s="38"/>
      <c r="G23" s="38"/>
      <c r="H23" s="38"/>
      <c r="I23" s="37"/>
    </row>
    <row r="24" spans="1:9" x14ac:dyDescent="0.25">
      <c r="A24" s="37"/>
      <c r="B24" s="37"/>
      <c r="C24" s="37"/>
      <c r="D24" s="37"/>
      <c r="E24" s="38"/>
      <c r="F24" s="38"/>
      <c r="G24" s="38"/>
      <c r="H24" s="38"/>
      <c r="I24" s="37"/>
    </row>
  </sheetData>
  <sheetProtection sheet="1" objects="1" scenarios="1"/>
  <protectedRanges>
    <protectedRange sqref="A3:A4 A7:E16 I7:I16" name="Edited Cells"/>
  </protectedRanges>
  <mergeCells count="5">
    <mergeCell ref="I5:I6"/>
    <mergeCell ref="A5:A6"/>
    <mergeCell ref="B5:B6"/>
    <mergeCell ref="C5:C6"/>
    <mergeCell ref="D5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 2015</vt:lpstr>
      <vt:lpstr>Jan 2020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dcterms:created xsi:type="dcterms:W3CDTF">2015-10-03T01:45:34Z</dcterms:created>
  <dcterms:modified xsi:type="dcterms:W3CDTF">2020-01-08T06:16:53Z</dcterms:modified>
</cp:coreProperties>
</file>