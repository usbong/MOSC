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8" windowWidth="12900" windowHeight="6900"/>
  </bookViews>
  <sheets>
    <sheet name="202005" sheetId="66" r:id="rId1"/>
  </sheets>
  <calcPr calcId="145621"/>
</workbook>
</file>

<file path=xl/calcChain.xml><?xml version="1.0" encoding="utf-8"?>
<calcChain xmlns="http://schemas.openxmlformats.org/spreadsheetml/2006/main">
  <c r="I9" i="66" l="1"/>
  <c r="H9" i="66"/>
  <c r="G9" i="66"/>
  <c r="F9" i="66"/>
  <c r="E9" i="66"/>
  <c r="L8" i="66"/>
  <c r="K8" i="66"/>
  <c r="J8" i="66"/>
  <c r="M8" i="66" s="1"/>
  <c r="N8" i="66" s="1"/>
  <c r="N7" i="66"/>
  <c r="M7" i="66"/>
  <c r="J7" i="66"/>
  <c r="A3" i="66"/>
  <c r="J9" i="66" l="1"/>
  <c r="L7" i="66"/>
  <c r="N9" i="66"/>
  <c r="M9" i="66"/>
  <c r="L9" i="66" l="1"/>
  <c r="K7" i="66"/>
  <c r="K9" i="66" s="1"/>
</calcChain>
</file>

<file path=xl/sharedStrings.xml><?xml version="1.0" encoding="utf-8"?>
<sst xmlns="http://schemas.openxmlformats.org/spreadsheetml/2006/main" count="30" uniqueCount="26">
  <si>
    <t>TOTAL</t>
  </si>
  <si>
    <t>DATE</t>
  </si>
  <si>
    <t>PATIENT NAME</t>
  </si>
  <si>
    <t>AMOUNT</t>
  </si>
  <si>
    <t>VAT</t>
  </si>
  <si>
    <t>MARIKINA ORTHOPEDIC SPECIALTY CLINIC</t>
  </si>
  <si>
    <t>VAT SALES</t>
  </si>
  <si>
    <t>OR NO.</t>
  </si>
  <si>
    <t>NON-MED</t>
  </si>
  <si>
    <t>TOTAL:</t>
  </si>
  <si>
    <t>WI</t>
  </si>
  <si>
    <t>SC</t>
  </si>
  <si>
    <t>CLASSIFI-</t>
  </si>
  <si>
    <t>PF</t>
  </si>
  <si>
    <t>X-RAY</t>
  </si>
  <si>
    <t>MEDICINE</t>
  </si>
  <si>
    <t>LAB</t>
  </si>
  <si>
    <t>CATION</t>
  </si>
  <si>
    <t>FEE</t>
  </si>
  <si>
    <t>AMT. PAID</t>
  </si>
  <si>
    <t>LESS 20%</t>
  </si>
  <si>
    <t>OFFICIAL RECEIPT: MOSC</t>
  </si>
  <si>
    <t>ASTORGA, THELMA &amp; SYSON, MICHAEL</t>
  </si>
  <si>
    <r>
      <t xml:space="preserve">PWD </t>
    </r>
    <r>
      <rPr>
        <b/>
        <sz val="11"/>
        <color theme="2" tint="-0.499984740745262"/>
        <rFont val="Calibri"/>
        <family val="2"/>
      </rPr>
      <t>▪</t>
    </r>
    <r>
      <rPr>
        <b/>
        <sz val="11"/>
        <color theme="2" tint="-0.499984740745262"/>
        <rFont val="Calibri"/>
        <family val="2"/>
        <scheme val="minor"/>
      </rPr>
      <t xml:space="preserve"> SC </t>
    </r>
  </si>
  <si>
    <t>DELA PAZ, MIGUEL</t>
  </si>
  <si>
    <t>BERGSTEIN, 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</si>
</sst>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\-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b/>
      <sz val="11"/>
      <color theme="2" tint="-0.499984740745262"/>
      <name val="Arial"/>
      <family val="2"/>
    </font>
    <font>
      <b/>
      <sz val="11"/>
      <color theme="2" tint="-0.499984740745262"/>
      <name val="Calibri"/>
      <family val="2"/>
    </font>
    <font>
      <sz val="11"/>
      <color rgb="FF948B54"/>
      <name val="Calibri"/>
      <family val="2"/>
      <scheme val="minor"/>
    </font>
    <font>
      <b/>
      <sz val="11"/>
      <color rgb="FF948B5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0E0CA"/>
        <bgColor indexed="64"/>
      </patternFill>
    </fill>
    <fill>
      <patternFill patternType="solid">
        <fgColor rgb="FFE2DFCC"/>
        <bgColor indexed="64"/>
      </patternFill>
    </fill>
  </fills>
  <borders count="10">
    <border>
      <left/>
      <right/>
      <top/>
      <bottom/>
      <diagonal/>
    </border>
    <border>
      <left style="thin">
        <color rgb="FF948B54"/>
      </left>
      <right style="thin">
        <color rgb="FF948B54"/>
      </right>
      <top style="thin">
        <color rgb="FF948B54"/>
      </top>
      <bottom style="thin">
        <color rgb="FF948B54"/>
      </bottom>
      <diagonal/>
    </border>
    <border>
      <left/>
      <right/>
      <top style="medium">
        <color theme="2" tint="-0.499984740745262"/>
      </top>
      <bottom/>
      <diagonal/>
    </border>
    <border>
      <left/>
      <right/>
      <top/>
      <bottom style="medium">
        <color theme="2" tint="-0.499984740745262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</cellStyleXfs>
  <cellXfs count="41">
    <xf numFmtId="0" fontId="0" fillId="0" borderId="0" xfId="0"/>
    <xf numFmtId="0" fontId="4" fillId="0" borderId="0" xfId="1" applyFont="1" applyAlignment="1">
      <alignment horizontal="left"/>
    </xf>
    <xf numFmtId="0" fontId="5" fillId="0" borderId="0" xfId="1" applyFont="1" applyAlignment="1">
      <alignment horizontal="left"/>
    </xf>
    <xf numFmtId="43" fontId="5" fillId="0" borderId="0" xfId="2" applyFont="1" applyAlignment="1">
      <alignment horizontal="left"/>
    </xf>
    <xf numFmtId="0" fontId="5" fillId="0" borderId="0" xfId="0" applyFont="1"/>
    <xf numFmtId="164" fontId="6" fillId="0" borderId="0" xfId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15" fontId="6" fillId="0" borderId="0" xfId="1" quotePrefix="1" applyNumberFormat="1" applyFont="1" applyAlignment="1">
      <alignment horizontal="left"/>
    </xf>
    <xf numFmtId="43" fontId="4" fillId="2" borderId="2" xfId="2" applyFont="1" applyFill="1" applyBorder="1" applyAlignment="1">
      <alignment horizontal="center"/>
    </xf>
    <xf numFmtId="43" fontId="4" fillId="2" borderId="3" xfId="2" applyFont="1" applyFill="1" applyBorder="1" applyAlignment="1">
      <alignment horizontal="center"/>
    </xf>
    <xf numFmtId="43" fontId="5" fillId="0" borderId="0" xfId="2" applyFont="1" applyBorder="1" applyAlignment="1">
      <alignment horizontal="left"/>
    </xf>
    <xf numFmtId="43" fontId="4" fillId="0" borderId="2" xfId="2" applyFont="1" applyBorder="1" applyAlignment="1">
      <alignment horizontal="center"/>
    </xf>
    <xf numFmtId="43" fontId="4" fillId="0" borderId="3" xfId="2" applyFont="1" applyFill="1" applyBorder="1" applyAlignment="1">
      <alignment horizontal="center"/>
    </xf>
    <xf numFmtId="43" fontId="4" fillId="0" borderId="6" xfId="5" applyFont="1" applyFill="1" applyBorder="1" applyAlignment="1">
      <alignment horizontal="center" vertical="top" wrapText="1"/>
    </xf>
    <xf numFmtId="43" fontId="4" fillId="0" borderId="7" xfId="5" applyFont="1" applyFill="1" applyBorder="1" applyAlignment="1">
      <alignment horizontal="center" vertical="top" wrapText="1"/>
    </xf>
    <xf numFmtId="43" fontId="4" fillId="0" borderId="2" xfId="5" applyFont="1" applyFill="1" applyBorder="1" applyAlignment="1">
      <alignment horizontal="center" vertical="top" wrapText="1"/>
    </xf>
    <xf numFmtId="43" fontId="4" fillId="0" borderId="3" xfId="5" applyFont="1" applyFill="1" applyBorder="1" applyAlignment="1">
      <alignment horizontal="center" vertical="top" wrapText="1"/>
    </xf>
    <xf numFmtId="43" fontId="4" fillId="0" borderId="6" xfId="2" applyFont="1" applyBorder="1" applyAlignment="1">
      <alignment horizontal="center"/>
    </xf>
    <xf numFmtId="43" fontId="4" fillId="0" borderId="7" xfId="2" applyFont="1" applyFill="1" applyBorder="1" applyAlignment="1">
      <alignment horizontal="center"/>
    </xf>
    <xf numFmtId="43" fontId="4" fillId="2" borderId="6" xfId="2" applyFont="1" applyFill="1" applyBorder="1" applyAlignment="1">
      <alignment horizontal="center"/>
    </xf>
    <xf numFmtId="43" fontId="4" fillId="2" borderId="7" xfId="2" applyFont="1" applyFill="1" applyBorder="1" applyAlignment="1">
      <alignment horizontal="center" wrapText="1"/>
    </xf>
    <xf numFmtId="43" fontId="4" fillId="2" borderId="8" xfId="2" applyFont="1" applyFill="1" applyBorder="1" applyAlignment="1">
      <alignment horizontal="center"/>
    </xf>
    <xf numFmtId="9" fontId="4" fillId="2" borderId="9" xfId="2" applyNumberFormat="1" applyFont="1" applyFill="1" applyBorder="1" applyAlignment="1">
      <alignment horizontal="center"/>
    </xf>
    <xf numFmtId="43" fontId="4" fillId="2" borderId="7" xfId="2" applyFont="1" applyFill="1" applyBorder="1" applyAlignment="1">
      <alignment horizontal="center"/>
    </xf>
    <xf numFmtId="165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left"/>
    </xf>
    <xf numFmtId="4" fontId="9" fillId="0" borderId="1" xfId="0" applyNumberFormat="1" applyFont="1" applyFill="1" applyBorder="1" applyAlignment="1">
      <alignment horizontal="right"/>
    </xf>
    <xf numFmtId="0" fontId="9" fillId="0" borderId="0" xfId="0" applyFont="1"/>
    <xf numFmtId="165" fontId="9" fillId="3" borderId="1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left"/>
    </xf>
    <xf numFmtId="4" fontId="9" fillId="3" borderId="1" xfId="0" applyNumberFormat="1" applyFont="1" applyFill="1" applyBorder="1" applyAlignment="1">
      <alignment horizontal="right"/>
    </xf>
    <xf numFmtId="0" fontId="10" fillId="0" borderId="0" xfId="0" applyFont="1"/>
    <xf numFmtId="4" fontId="10" fillId="0" borderId="0" xfId="0" applyNumberFormat="1" applyFont="1"/>
    <xf numFmtId="14" fontId="7" fillId="0" borderId="4" xfId="3" applyNumberFormat="1" applyFont="1" applyFill="1" applyBorder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0" fontId="4" fillId="0" borderId="6" xfId="4" applyNumberFormat="1" applyFont="1" applyFill="1" applyBorder="1" applyAlignment="1">
      <alignment horizontal="center" vertical="center"/>
    </xf>
    <xf numFmtId="0" fontId="4" fillId="0" borderId="7" xfId="4" applyNumberFormat="1" applyFont="1" applyFill="1" applyBorder="1" applyAlignment="1">
      <alignment horizontal="center" vertical="center"/>
    </xf>
    <xf numFmtId="43" fontId="4" fillId="0" borderId="6" xfId="5" applyFont="1" applyFill="1" applyBorder="1" applyAlignment="1">
      <alignment horizontal="center" vertical="center"/>
    </xf>
    <xf numFmtId="43" fontId="4" fillId="0" borderId="7" xfId="5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colors>
    <mruColors>
      <color rgb="FFE0E0C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O9"/>
  <sheetViews>
    <sheetView tabSelected="1" workbookViewId="0"/>
  </sheetViews>
  <sheetFormatPr defaultRowHeight="14.4" x14ac:dyDescent="0.3"/>
  <cols>
    <col min="1" max="1" width="11.88671875" customWidth="1"/>
    <col min="2" max="2" width="7.44140625" customWidth="1"/>
    <col min="3" max="3" width="27.44140625" customWidth="1"/>
    <col min="4" max="4" width="10.5546875" customWidth="1"/>
    <col min="5" max="6" width="9.109375" customWidth="1"/>
    <col min="7" max="7" width="10.5546875" customWidth="1"/>
    <col min="8" max="8" width="10.33203125" customWidth="1"/>
    <col min="9" max="9" width="8.109375" customWidth="1"/>
    <col min="10" max="10" width="11.88671875" customWidth="1"/>
    <col min="11" max="11" width="11.5546875" customWidth="1"/>
    <col min="12" max="12" width="9.88671875" customWidth="1"/>
    <col min="13" max="13" width="10.109375" customWidth="1"/>
    <col min="14" max="14" width="11" customWidth="1"/>
    <col min="15" max="15" width="18.6640625" customWidth="1"/>
  </cols>
  <sheetData>
    <row r="1" spans="1:15" x14ac:dyDescent="0.3">
      <c r="A1" s="1" t="s">
        <v>5</v>
      </c>
      <c r="B1" s="1"/>
      <c r="C1" s="2"/>
      <c r="D1" s="2"/>
      <c r="E1" s="3"/>
      <c r="F1" s="3"/>
      <c r="G1" s="3"/>
      <c r="H1" s="3"/>
      <c r="I1" s="2"/>
      <c r="J1" s="4"/>
      <c r="K1" s="4"/>
      <c r="L1" s="4"/>
      <c r="M1" s="4"/>
      <c r="N1" s="4"/>
    </row>
    <row r="2" spans="1:15" x14ac:dyDescent="0.3">
      <c r="A2" s="1" t="s">
        <v>21</v>
      </c>
      <c r="B2" s="1"/>
      <c r="C2" s="2"/>
      <c r="D2" s="2"/>
      <c r="E2" s="3"/>
      <c r="F2" s="3"/>
      <c r="G2" s="3"/>
      <c r="H2" s="3"/>
      <c r="I2" s="2"/>
      <c r="J2" s="4"/>
      <c r="K2" s="4"/>
      <c r="L2" s="4"/>
      <c r="M2" s="4"/>
      <c r="N2" s="4"/>
    </row>
    <row r="3" spans="1:15" x14ac:dyDescent="0.3">
      <c r="A3" s="5" t="str">
        <f ca="1">"TODAY: " &amp; TEXT(NOW(), "dd/mm/yyyy") &amp; " (" &amp; TEXT(NOW(), "dd mmm yyyy") &amp; ")"</f>
        <v>TODAY: 25/05/2020 (25 May 2020)</v>
      </c>
      <c r="B3" s="6"/>
      <c r="C3" s="2"/>
      <c r="D3" s="2"/>
      <c r="E3" s="3"/>
      <c r="F3" s="3"/>
      <c r="G3" s="3"/>
      <c r="H3" s="3"/>
      <c r="I3" s="2"/>
      <c r="J3" s="4"/>
      <c r="K3" s="4"/>
      <c r="L3" s="4"/>
      <c r="M3" s="4"/>
      <c r="N3" s="4"/>
    </row>
    <row r="4" spans="1:15" ht="15" thickBot="1" x14ac:dyDescent="0.35">
      <c r="A4" s="7" t="s">
        <v>22</v>
      </c>
      <c r="B4" s="6"/>
      <c r="C4" s="2"/>
      <c r="D4" s="2"/>
      <c r="E4" s="3"/>
      <c r="F4" s="3"/>
      <c r="G4" s="3"/>
      <c r="H4" s="10"/>
      <c r="I4" s="2"/>
      <c r="J4" s="4"/>
      <c r="K4" s="4"/>
      <c r="L4" s="4"/>
      <c r="M4" s="4"/>
      <c r="N4" s="4"/>
    </row>
    <row r="5" spans="1:15" ht="15" customHeight="1" x14ac:dyDescent="0.3">
      <c r="A5" s="35" t="s">
        <v>1</v>
      </c>
      <c r="B5" s="37" t="s">
        <v>7</v>
      </c>
      <c r="C5" s="39" t="s">
        <v>2</v>
      </c>
      <c r="D5" s="11" t="s">
        <v>12</v>
      </c>
      <c r="E5" s="39" t="s">
        <v>13</v>
      </c>
      <c r="F5" s="13" t="s">
        <v>14</v>
      </c>
      <c r="G5" s="13" t="s">
        <v>8</v>
      </c>
      <c r="H5" s="13" t="s">
        <v>15</v>
      </c>
      <c r="I5" s="15" t="s">
        <v>16</v>
      </c>
      <c r="J5" s="17" t="s">
        <v>0</v>
      </c>
      <c r="K5" s="8"/>
      <c r="L5" s="19" t="s">
        <v>4</v>
      </c>
      <c r="M5" s="19"/>
      <c r="N5" s="21" t="s">
        <v>23</v>
      </c>
    </row>
    <row r="6" spans="1:15" ht="17.25" customHeight="1" thickBot="1" x14ac:dyDescent="0.35">
      <c r="A6" s="36"/>
      <c r="B6" s="38"/>
      <c r="C6" s="40"/>
      <c r="D6" s="12" t="s">
        <v>17</v>
      </c>
      <c r="E6" s="40"/>
      <c r="F6" s="14" t="s">
        <v>18</v>
      </c>
      <c r="G6" s="14" t="s">
        <v>18</v>
      </c>
      <c r="H6" s="14" t="s">
        <v>18</v>
      </c>
      <c r="I6" s="16" t="s">
        <v>18</v>
      </c>
      <c r="J6" s="18" t="s">
        <v>19</v>
      </c>
      <c r="K6" s="9" t="s">
        <v>6</v>
      </c>
      <c r="L6" s="20" t="s">
        <v>3</v>
      </c>
      <c r="M6" s="23" t="s">
        <v>0</v>
      </c>
      <c r="N6" s="22" t="s">
        <v>20</v>
      </c>
    </row>
    <row r="7" spans="1:15" ht="12" customHeight="1" x14ac:dyDescent="0.3">
      <c r="A7" s="24">
        <v>43952</v>
      </c>
      <c r="B7" s="25">
        <v>3635</v>
      </c>
      <c r="C7" s="26" t="s">
        <v>25</v>
      </c>
      <c r="D7" s="25" t="s">
        <v>10</v>
      </c>
      <c r="E7" s="27"/>
      <c r="F7" s="27">
        <v>500</v>
      </c>
      <c r="G7" s="27"/>
      <c r="H7" s="27"/>
      <c r="I7" s="27"/>
      <c r="J7" s="27">
        <f>SUM($E$7:$I$7)</f>
        <v>500</v>
      </c>
      <c r="K7" s="27">
        <f t="shared" ref="K7:K8" si="0">IF(D7="WI",J7-L7,0)</f>
        <v>446.43</v>
      </c>
      <c r="L7" s="27">
        <f t="shared" ref="L7:L8" si="1">IF(D7="WI",ROUND(J7/1.12*0.12,2),0)</f>
        <v>53.57</v>
      </c>
      <c r="M7" s="27">
        <f t="shared" ref="M7:M8" si="2">J7</f>
        <v>500</v>
      </c>
      <c r="N7" s="27">
        <f t="shared" ref="N7:N8" si="3">IF(D7="WI",0,M7*0.2)</f>
        <v>0</v>
      </c>
      <c r="O7" s="28"/>
    </row>
    <row r="8" spans="1:15" ht="12" customHeight="1" x14ac:dyDescent="0.3">
      <c r="A8" s="29">
        <v>43952</v>
      </c>
      <c r="B8" s="30">
        <v>3636</v>
      </c>
      <c r="C8" s="31" t="s">
        <v>24</v>
      </c>
      <c r="D8" s="30" t="s">
        <v>11</v>
      </c>
      <c r="E8" s="32">
        <v>600</v>
      </c>
      <c r="F8" s="32">
        <v>400</v>
      </c>
      <c r="G8" s="32"/>
      <c r="H8" s="32"/>
      <c r="I8" s="32"/>
      <c r="J8" s="32">
        <f>SUM($E$8:$I$8)</f>
        <v>1000</v>
      </c>
      <c r="K8" s="32">
        <f t="shared" si="0"/>
        <v>0</v>
      </c>
      <c r="L8" s="32">
        <f t="shared" si="1"/>
        <v>0</v>
      </c>
      <c r="M8" s="32">
        <f t="shared" si="2"/>
        <v>1000</v>
      </c>
      <c r="N8" s="32">
        <f t="shared" si="3"/>
        <v>200</v>
      </c>
      <c r="O8" s="28"/>
    </row>
    <row r="9" spans="1:15" x14ac:dyDescent="0.3">
      <c r="A9" s="33" t="s">
        <v>9</v>
      </c>
      <c r="B9" s="33"/>
      <c r="C9" s="33"/>
      <c r="D9" s="33"/>
      <c r="E9" s="34">
        <f>SUM($E$7:$E$8)</f>
        <v>600</v>
      </c>
      <c r="F9" s="34">
        <f>SUM($F$7:$F$8)</f>
        <v>900</v>
      </c>
      <c r="G9" s="34">
        <f>SUM($G$7:$G$8)</f>
        <v>0</v>
      </c>
      <c r="H9" s="34">
        <f>SUM($H$7:$H$8)</f>
        <v>0</v>
      </c>
      <c r="I9" s="34">
        <f>SUM($I$7:$I$8)</f>
        <v>0</v>
      </c>
      <c r="J9" s="34">
        <f>SUM($J$7:$J$8)</f>
        <v>1500</v>
      </c>
      <c r="K9" s="34">
        <f>SUM($K$7:$K$8)</f>
        <v>446.43</v>
      </c>
      <c r="L9" s="34">
        <f>SUM($L$7:$L$8)</f>
        <v>53.57</v>
      </c>
      <c r="M9" s="34">
        <f>SUM($M$7:$M$8)</f>
        <v>1500</v>
      </c>
      <c r="N9" s="34">
        <f>SUM($N$7:$N$8)</f>
        <v>200</v>
      </c>
      <c r="O9" s="28"/>
    </row>
  </sheetData>
  <protectedRanges>
    <protectedRange sqref="A3:A4" name="Edited Cells_1"/>
    <protectedRange sqref="A5:I6" name="Range1_1"/>
  </protectedRanges>
  <mergeCells count="4">
    <mergeCell ref="A5:A6"/>
    <mergeCell ref="B5:B6"/>
    <mergeCell ref="C5:C6"/>
    <mergeCell ref="E5:E6"/>
  </mergeCells>
  <pageMargins left="0.25" right="0.25" top="0.25" bottom="0.25" header="0" footer="0"/>
  <pageSetup paperSize="5" fitToHeight="0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202005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Unit Member</cp:lastModifiedBy>
  <cp:lastPrinted>2020-05-24T11:06:03Z</cp:lastPrinted>
  <dcterms:created xsi:type="dcterms:W3CDTF">2015-10-03T01:45:34Z</dcterms:created>
  <dcterms:modified xsi:type="dcterms:W3CDTF">2020-05-25T00:12:31Z</dcterms:modified>
</cp:coreProperties>
</file>